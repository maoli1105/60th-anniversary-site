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ouritetsuya/Desktop/60th-anniversary-sample/"/>
    </mc:Choice>
  </mc:AlternateContent>
  <xr:revisionPtr revIDLastSave="0" documentId="13_ncr:1_{8E4442CE-7D81-AB4F-BB24-EA4FF01A876C}" xr6:coauthVersionLast="47" xr6:coauthVersionMax="47" xr10:uidLastSave="{00000000-0000-0000-0000-000000000000}"/>
  <bookViews>
    <workbookView xWindow="0" yWindow="600" windowWidth="28800" windowHeight="16380" xr2:uid="{00000000-000D-0000-FFFF-FFFF00000000}"/>
  </bookViews>
  <sheets>
    <sheet name="見積書" sheetId="1" r:id="rId1"/>
  </sheets>
  <definedNames>
    <definedName name="_xlnm.Print_Area" localSheetId="0">見積書!$A$1:$G$45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" l="1"/>
  <c r="F28" i="1" l="1"/>
  <c r="F30" i="1" s="1"/>
  <c r="D10" i="1" s="1"/>
</calcChain>
</file>

<file path=xl/sharedStrings.xml><?xml version="1.0" encoding="utf-8"?>
<sst xmlns="http://schemas.openxmlformats.org/spreadsheetml/2006/main" count="48" uniqueCount="42">
  <si>
    <t>御 見 積 書</t>
  </si>
  <si>
    <t>広島県商工会青年部連合会</t>
  </si>
  <si>
    <t>見積日：</t>
  </si>
  <si>
    <t>広島県商工会女性部連合会  御中</t>
  </si>
  <si>
    <t>見積番号：</t>
  </si>
  <si>
    <t>EST-2026-001</t>
  </si>
  <si>
    <t>有効期限：</t>
  </si>
  <si>
    <t>令和8年8月15日</t>
  </si>
  <si>
    <t>件名：</t>
  </si>
  <si>
    <t>創立60周年記念式典 ウェブサイト制作</t>
  </si>
  <si>
    <t>お見積金額（税込）</t>
  </si>
  <si>
    <t>No.</t>
  </si>
  <si>
    <t>項目</t>
  </si>
  <si>
    <t>数量</t>
  </si>
  <si>
    <t>単位</t>
  </si>
  <si>
    <t>金額（税抜）</t>
  </si>
  <si>
    <t>1. デザイン制作</t>
  </si>
  <si>
    <t>トップページデザイン</t>
  </si>
  <si>
    <t>式</t>
  </si>
  <si>
    <t>下層ページテンプレートデザイン
（挨拶・あゆみ・単会活動）</t>
  </si>
  <si>
    <t>2. コーディング・実装</t>
  </si>
  <si>
    <t>トップページコーディング
（アニメーション実装含む）</t>
  </si>
  <si>
    <t>下層ページコーディング
（挨拶・祝辞・あゆみ等）</t>
  </si>
  <si>
    <t>単会活動ページ制作・流し込み</t>
  </si>
  <si>
    <t>ページ</t>
  </si>
  <si>
    <t>レスポンシブ対応（スマートフォン）</t>
  </si>
  <si>
    <t>3. その他</t>
  </si>
  <si>
    <t>テスト・修正・納品対応</t>
  </si>
  <si>
    <t>公開後軽微修正対応（納品後3ヶ月）</t>
  </si>
  <si>
    <t>サービス</t>
  </si>
  <si>
    <t>小計（税抜）</t>
  </si>
  <si>
    <t>消費税（10%）</t>
  </si>
  <si>
    <t>合計（税込）</t>
  </si>
  <si>
    <t>備考</t>
  </si>
  <si>
    <t xml:space="preserve">  写真・原稿素材は貴会よりご支給いただきます。</t>
  </si>
  <si>
    <t xml:space="preserve">  サーバーは県連HPサーバーを使用いたします（追加費用なし）。</t>
  </si>
  <si>
    <t xml:space="preserve">  SSL対応はサーバー側での対応となります。</t>
  </si>
  <si>
    <t xml:space="preserve">  納品後3ヶ月間の軽微な修正（テキスト修正・写真差替等）は無償対応いたします。</t>
  </si>
  <si>
    <t xml:space="preserve">  納期：令和9年1月下旬（素材支給後 約4-6週間）</t>
  </si>
  <si>
    <t>株式会社パズル</t>
  </si>
  <si>
    <t>TEL：080-3494-7979</t>
    <phoneticPr fontId="10"/>
  </si>
  <si>
    <t>E-mail：maoli1105@gmail.com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</si>
</sst>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11">
    <font>
      <sz val="11"/>
      <color theme="1"/>
      <name val="ＭＳ Ｐゴシック"/>
      <family val="2"/>
      <scheme val="minor"/>
    </font>
    <font>
      <b/>
      <sz val="18"/>
      <name val="Yu Gothic"/>
      <family val="3"/>
      <charset val="128"/>
    </font>
    <font>
      <sz val="9"/>
      <name val="Yu Gothic"/>
      <family val="3"/>
      <charset val="128"/>
    </font>
    <font>
      <b/>
      <sz val="10"/>
      <name val="Yu Gothic"/>
      <family val="3"/>
      <charset val="128"/>
    </font>
    <font>
      <b/>
      <sz val="11"/>
      <name val="Yu Gothic"/>
      <family val="3"/>
      <charset val="128"/>
    </font>
    <font>
      <b/>
      <sz val="14"/>
      <name val="Yu Gothic"/>
      <family val="3"/>
      <charset val="128"/>
    </font>
    <font>
      <b/>
      <sz val="9"/>
      <color rgb="FFFFFFFF"/>
      <name val="Yu Gothic"/>
      <family val="3"/>
      <charset val="128"/>
    </font>
    <font>
      <b/>
      <sz val="10"/>
      <color rgb="FF1B2A4A"/>
      <name val="Yu Gothic"/>
      <family val="3"/>
      <charset val="128"/>
    </font>
    <font>
      <sz val="9"/>
      <color rgb="FFB8860B"/>
      <name val="Yu Gothic"/>
      <family val="3"/>
      <charset val="128"/>
    </font>
    <font>
      <b/>
      <sz val="9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5F0E8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176" fontId="9" fillId="0" borderId="4" xfId="0" applyNumberFormat="1" applyFont="1" applyBorder="1" applyAlignment="1">
      <alignment horizontal="right" vertical="center"/>
    </xf>
    <xf numFmtId="176" fontId="4" fillId="0" borderId="5" xfId="0" applyNumberFormat="1" applyFont="1" applyBorder="1" applyAlignment="1">
      <alignment horizontal="right" vertical="center"/>
    </xf>
    <xf numFmtId="0" fontId="0" fillId="0" borderId="8" xfId="0" applyBorder="1"/>
    <xf numFmtId="0" fontId="0" fillId="0" borderId="3" xfId="0" applyBorder="1"/>
    <xf numFmtId="0" fontId="4" fillId="0" borderId="0" xfId="0" applyFont="1" applyAlignment="1">
      <alignment horizontal="right" vertical="center"/>
    </xf>
    <xf numFmtId="0" fontId="0" fillId="0" borderId="0" xfId="0"/>
    <xf numFmtId="0" fontId="2" fillId="0" borderId="11" xfId="0" applyFont="1" applyBorder="1"/>
    <xf numFmtId="0" fontId="0" fillId="0" borderId="12" xfId="0" applyBorder="1"/>
    <xf numFmtId="0" fontId="9" fillId="0" borderId="0" xfId="0" applyFont="1"/>
    <xf numFmtId="0" fontId="9" fillId="0" borderId="4" xfId="0" applyFont="1" applyBorder="1" applyAlignment="1">
      <alignment horizontal="right" vertical="center"/>
    </xf>
    <xf numFmtId="0" fontId="0" fillId="0" borderId="4" xfId="0" applyBorder="1"/>
    <xf numFmtId="0" fontId="3" fillId="0" borderId="0" xfId="0" applyFont="1"/>
    <xf numFmtId="0" fontId="2" fillId="0" borderId="0" xfId="0" applyFont="1"/>
    <xf numFmtId="0" fontId="4" fillId="0" borderId="5" xfId="0" applyFont="1" applyBorder="1" applyAlignment="1">
      <alignment horizontal="right" vertical="center"/>
    </xf>
    <xf numFmtId="0" fontId="0" fillId="0" borderId="5" xfId="0" applyBorder="1"/>
    <xf numFmtId="0" fontId="7" fillId="3" borderId="3" xfId="0" applyFont="1" applyFill="1" applyBorder="1"/>
    <xf numFmtId="0" fontId="0" fillId="3" borderId="3" xfId="0" applyFill="1" applyBorder="1"/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3" fillId="0" borderId="2" xfId="0" applyFont="1" applyBorder="1" applyAlignment="1">
      <alignment horizontal="left" vertical="center"/>
    </xf>
    <xf numFmtId="0" fontId="0" fillId="0" borderId="2" xfId="0" applyBorder="1"/>
    <xf numFmtId="0" fontId="2" fillId="0" borderId="13" xfId="0" applyFont="1" applyBorder="1"/>
    <xf numFmtId="0" fontId="0" fillId="0" borderId="14" xfId="0" applyBorder="1"/>
    <xf numFmtId="176" fontId="5" fillId="0" borderId="7" xfId="0" applyNumberFormat="1" applyFont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/>
    <xf numFmtId="0" fontId="2" fillId="0" borderId="9" xfId="0" applyFont="1" applyBorder="1"/>
    <xf numFmtId="0" fontId="0" fillId="0" borderId="6" xfId="0" applyBorder="1"/>
    <xf numFmtId="0" fontId="0" fillId="0" borderId="10" xfId="0" applyBorder="1"/>
    <xf numFmtId="58" fontId="2" fillId="0" borderId="0" xfId="0" applyNumberFormat="1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43"/>
  <sheetViews>
    <sheetView tabSelected="1" workbookViewId="0">
      <selection activeCell="D44" sqref="D44"/>
    </sheetView>
  </sheetViews>
  <sheetFormatPr baseColWidth="10" defaultColWidth="8.83203125" defaultRowHeight="14"/>
  <cols>
    <col min="1" max="1" width="4" customWidth="1"/>
    <col min="2" max="2" width="6" customWidth="1"/>
    <col min="3" max="3" width="36" customWidth="1"/>
    <col min="4" max="4" width="10" customWidth="1"/>
    <col min="5" max="5" width="8" customWidth="1"/>
    <col min="6" max="6" width="16" customWidth="1"/>
    <col min="7" max="7" width="4" customWidth="1"/>
  </cols>
  <sheetData>
    <row r="2" spans="2:6" ht="29">
      <c r="B2" s="26" t="s">
        <v>0</v>
      </c>
      <c r="C2" s="13"/>
      <c r="D2" s="13"/>
      <c r="E2" s="13"/>
      <c r="F2" s="13"/>
    </row>
    <row r="4" spans="2:6" ht="15">
      <c r="B4" s="19" t="s">
        <v>1</v>
      </c>
      <c r="C4" s="13"/>
      <c r="E4" s="1" t="s">
        <v>2</v>
      </c>
      <c r="F4" s="38">
        <v>46227</v>
      </c>
    </row>
    <row r="5" spans="2:6" ht="15">
      <c r="B5" s="33" t="s">
        <v>3</v>
      </c>
      <c r="C5" s="34"/>
      <c r="E5" s="1" t="s">
        <v>4</v>
      </c>
      <c r="F5" s="2" t="s">
        <v>5</v>
      </c>
    </row>
    <row r="6" spans="2:6" ht="15">
      <c r="E6" s="1" t="s">
        <v>6</v>
      </c>
      <c r="F6" s="2" t="s">
        <v>7</v>
      </c>
    </row>
    <row r="7" spans="2:6" ht="16">
      <c r="B7" s="20" t="s">
        <v>8</v>
      </c>
      <c r="C7" s="13"/>
    </row>
    <row r="8" spans="2:6" ht="18">
      <c r="B8" s="27" t="s">
        <v>9</v>
      </c>
      <c r="C8" s="13"/>
      <c r="D8" s="13"/>
      <c r="E8" s="13"/>
      <c r="F8" s="13"/>
    </row>
    <row r="9" spans="2:6" ht="15" thickBot="1"/>
    <row r="10" spans="2:6" ht="23" thickBot="1">
      <c r="B10" s="28" t="s">
        <v>10</v>
      </c>
      <c r="C10" s="29"/>
      <c r="D10" s="32">
        <f>F30</f>
        <v>360000.3</v>
      </c>
      <c r="E10" s="29"/>
      <c r="F10" s="29"/>
    </row>
    <row r="11" spans="2:6">
      <c r="D11" s="10"/>
    </row>
    <row r="13" spans="2:6">
      <c r="B13" s="3" t="s">
        <v>11</v>
      </c>
      <c r="C13" s="3" t="s">
        <v>12</v>
      </c>
      <c r="D13" s="3" t="s">
        <v>13</v>
      </c>
      <c r="E13" s="3" t="s">
        <v>14</v>
      </c>
      <c r="F13" s="3" t="s">
        <v>15</v>
      </c>
    </row>
    <row r="14" spans="2:6" ht="15">
      <c r="B14" s="23" t="s">
        <v>16</v>
      </c>
      <c r="C14" s="24"/>
      <c r="D14" s="24"/>
      <c r="E14" s="24"/>
      <c r="F14" s="24"/>
    </row>
    <row r="15" spans="2:6" ht="16">
      <c r="B15" s="4">
        <v>1</v>
      </c>
      <c r="C15" s="5" t="s">
        <v>17</v>
      </c>
      <c r="D15" s="4">
        <v>1</v>
      </c>
      <c r="E15" s="4" t="s">
        <v>18</v>
      </c>
      <c r="F15" s="6">
        <v>80000</v>
      </c>
    </row>
    <row r="16" spans="2:6" ht="30" customHeight="1">
      <c r="B16" s="4">
        <v>2</v>
      </c>
      <c r="C16" s="5" t="s">
        <v>19</v>
      </c>
      <c r="D16" s="4">
        <v>1</v>
      </c>
      <c r="E16" s="4" t="s">
        <v>18</v>
      </c>
      <c r="F16" s="6">
        <v>50000</v>
      </c>
    </row>
    <row r="17" spans="2:6" ht="15">
      <c r="B17" s="23" t="s">
        <v>20</v>
      </c>
      <c r="C17" s="24"/>
      <c r="D17" s="24"/>
      <c r="E17" s="24"/>
      <c r="F17" s="24"/>
    </row>
    <row r="18" spans="2:6" ht="30" customHeight="1">
      <c r="B18" s="4">
        <v>3</v>
      </c>
      <c r="C18" s="5" t="s">
        <v>21</v>
      </c>
      <c r="D18" s="4">
        <v>1</v>
      </c>
      <c r="E18" s="4" t="s">
        <v>18</v>
      </c>
      <c r="F18" s="6">
        <v>60000</v>
      </c>
    </row>
    <row r="19" spans="2:6" ht="30" customHeight="1">
      <c r="B19" s="4">
        <v>4</v>
      </c>
      <c r="C19" s="5" t="s">
        <v>22</v>
      </c>
      <c r="D19" s="4">
        <v>1</v>
      </c>
      <c r="E19" s="4" t="s">
        <v>18</v>
      </c>
      <c r="F19" s="6">
        <v>40000</v>
      </c>
    </row>
    <row r="20" spans="2:6" ht="16">
      <c r="B20" s="4">
        <v>5</v>
      </c>
      <c r="C20" s="5" t="s">
        <v>23</v>
      </c>
      <c r="D20" s="4">
        <v>34</v>
      </c>
      <c r="E20" s="4" t="s">
        <v>24</v>
      </c>
      <c r="F20" s="6">
        <v>52273</v>
      </c>
    </row>
    <row r="21" spans="2:6" ht="16">
      <c r="B21" s="4">
        <v>6</v>
      </c>
      <c r="C21" s="5" t="s">
        <v>25</v>
      </c>
      <c r="D21" s="4">
        <v>1</v>
      </c>
      <c r="E21" s="4" t="s">
        <v>18</v>
      </c>
      <c r="F21" s="6">
        <v>25000</v>
      </c>
    </row>
    <row r="22" spans="2:6" ht="15">
      <c r="B22" s="23" t="s">
        <v>26</v>
      </c>
      <c r="C22" s="24"/>
      <c r="D22" s="24"/>
      <c r="E22" s="24"/>
      <c r="F22" s="24"/>
    </row>
    <row r="23" spans="2:6" ht="16">
      <c r="B23" s="4">
        <v>7</v>
      </c>
      <c r="C23" s="5" t="s">
        <v>27</v>
      </c>
      <c r="D23" s="4">
        <v>1</v>
      </c>
      <c r="E23" s="4" t="s">
        <v>18</v>
      </c>
      <c r="F23" s="6">
        <v>20000</v>
      </c>
    </row>
    <row r="24" spans="2:6" ht="16">
      <c r="B24" s="4">
        <v>8</v>
      </c>
      <c r="C24" s="5" t="s">
        <v>28</v>
      </c>
      <c r="D24" s="4">
        <v>1</v>
      </c>
      <c r="E24" s="4" t="s">
        <v>18</v>
      </c>
      <c r="F24" s="7" t="s">
        <v>29</v>
      </c>
    </row>
    <row r="25" spans="2:6">
      <c r="B25" s="11"/>
      <c r="C25" s="11"/>
      <c r="D25" s="11"/>
      <c r="E25" s="11"/>
      <c r="F25" s="11"/>
    </row>
    <row r="27" spans="2:6">
      <c r="B27" s="17" t="s">
        <v>30</v>
      </c>
      <c r="C27" s="18"/>
      <c r="D27" s="18"/>
      <c r="E27" s="18"/>
      <c r="F27" s="8">
        <f>SUM(F15:F16,F18:F21,F23)</f>
        <v>327273</v>
      </c>
    </row>
    <row r="28" spans="2:6">
      <c r="B28" s="17" t="s">
        <v>31</v>
      </c>
      <c r="C28" s="18"/>
      <c r="D28" s="18"/>
      <c r="E28" s="18"/>
      <c r="F28" s="8">
        <f>F27*0.1</f>
        <v>32727.300000000003</v>
      </c>
    </row>
    <row r="30" spans="2:6" ht="18">
      <c r="B30" s="21" t="s">
        <v>32</v>
      </c>
      <c r="C30" s="22"/>
      <c r="D30" s="22"/>
      <c r="E30" s="22"/>
      <c r="F30" s="9">
        <f>F27+F28</f>
        <v>360000.3</v>
      </c>
    </row>
    <row r="32" spans="2:6" ht="15">
      <c r="B32" s="16" t="s">
        <v>33</v>
      </c>
      <c r="C32" s="13"/>
      <c r="D32" s="13"/>
      <c r="E32" s="13"/>
      <c r="F32" s="13"/>
    </row>
    <row r="33" spans="2:6" ht="16">
      <c r="B33" s="35" t="s">
        <v>34</v>
      </c>
      <c r="C33" s="36"/>
      <c r="D33" s="36"/>
      <c r="E33" s="36"/>
      <c r="F33" s="37"/>
    </row>
    <row r="34" spans="2:6" ht="16">
      <c r="B34" s="14" t="s">
        <v>35</v>
      </c>
      <c r="C34" s="13"/>
      <c r="D34" s="13"/>
      <c r="E34" s="13"/>
      <c r="F34" s="15"/>
    </row>
    <row r="35" spans="2:6" ht="16">
      <c r="B35" s="14" t="s">
        <v>36</v>
      </c>
      <c r="C35" s="13"/>
      <c r="D35" s="13"/>
      <c r="E35" s="13"/>
      <c r="F35" s="15"/>
    </row>
    <row r="36" spans="2:6" ht="16">
      <c r="B36" s="14" t="s">
        <v>37</v>
      </c>
      <c r="C36" s="13"/>
      <c r="D36" s="13"/>
      <c r="E36" s="13"/>
      <c r="F36" s="15"/>
    </row>
    <row r="37" spans="2:6" ht="16">
      <c r="B37" s="30" t="s">
        <v>38</v>
      </c>
      <c r="C37" s="18"/>
      <c r="D37" s="18"/>
      <c r="E37" s="18"/>
      <c r="F37" s="31"/>
    </row>
    <row r="40" spans="2:6" ht="18">
      <c r="D40" s="12" t="s">
        <v>39</v>
      </c>
      <c r="E40" s="13"/>
      <c r="F40" s="13"/>
    </row>
    <row r="42" spans="2:6" ht="15">
      <c r="D42" s="25" t="s">
        <v>40</v>
      </c>
      <c r="E42" s="13"/>
      <c r="F42" s="13"/>
    </row>
    <row r="43" spans="2:6" ht="15">
      <c r="D43" s="25" t="s">
        <v>41</v>
      </c>
      <c r="E43" s="13"/>
      <c r="F43" s="13"/>
    </row>
  </sheetData>
  <mergeCells count="22">
    <mergeCell ref="D43:F43"/>
    <mergeCell ref="B2:F2"/>
    <mergeCell ref="B14:F14"/>
    <mergeCell ref="B8:F8"/>
    <mergeCell ref="B17:F17"/>
    <mergeCell ref="D42:F42"/>
    <mergeCell ref="B27:E27"/>
    <mergeCell ref="B34:F34"/>
    <mergeCell ref="B10:C10"/>
    <mergeCell ref="B37:F37"/>
    <mergeCell ref="D10:F10"/>
    <mergeCell ref="B5:C5"/>
    <mergeCell ref="B33:F33"/>
    <mergeCell ref="D40:F40"/>
    <mergeCell ref="B36:F36"/>
    <mergeCell ref="B32:F32"/>
    <mergeCell ref="B28:E28"/>
    <mergeCell ref="B4:C4"/>
    <mergeCell ref="B35:F35"/>
    <mergeCell ref="B7:C7"/>
    <mergeCell ref="B30:E30"/>
    <mergeCell ref="B22:F22"/>
  </mergeCells>
  <phoneticPr fontId="10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見積書</vt:lpstr>
      <vt:lpstr>見積書!Print_Area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maoli1105@outlook.jp</cp:lastModifiedBy>
  <dcterms:created xsi:type="dcterms:W3CDTF">2026-07-15T02:08:47Z</dcterms:created>
  <dcterms:modified xsi:type="dcterms:W3CDTF">2026-07-23T15:20:47Z</dcterms:modified>
</cp:coreProperties>
</file>